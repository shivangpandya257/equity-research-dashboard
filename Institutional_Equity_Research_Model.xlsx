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&amp;_Concall" sheetId="1" state="visible" r:id="rId1"/>
    <sheet xmlns:r="http://schemas.openxmlformats.org/officeDocument/2006/relationships" name="Financial_Model" sheetId="2" state="visible" r:id="rId2"/>
    <sheet xmlns:r="http://schemas.openxmlformats.org/officeDocument/2006/relationships" name="DCF_Valuation" sheetId="3" state="visible" r:id="rId3"/>
    <sheet xmlns:r="http://schemas.openxmlformats.org/officeDocument/2006/relationships" name="DuPont_Decom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x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008000"/>
      <sz val="12"/>
    </font>
    <font>
      <name val="Calibri"/>
      <b val="1"/>
      <color rgb="00FFFFFF"/>
      <sz val="11"/>
    </font>
    <font>
      <name val="Calibri"/>
      <b val="1"/>
      <color rgb="001B365D"/>
      <sz val="10"/>
    </font>
    <font>
      <name val="Calibri"/>
      <color rgb="000000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D9E1F2"/>
        <bgColor rgb="00D9E1F2"/>
      </patternFill>
    </fill>
    <fill>
      <patternFill patternType="solid">
        <fgColor rgb="00F2F4F7"/>
        <b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3" borderId="0" pivotButton="0" quotePrefix="0" xfId="0"/>
    <xf numFmtId="165" fontId="6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" fontId="7" fillId="0" borderId="0" pivotButton="0" quotePrefix="0" xfId="0"/>
    <xf numFmtId="4" fontId="2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2" fillId="5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5" customHeight="1">
      <c r="A1" s="1" t="inlineStr">
        <is>
          <t>EQUITY RESEARCH DASHBOARD &amp; CONCALL INTELLIGENCE</t>
        </is>
      </c>
    </row>
    <row r="2"/>
    <row r="3">
      <c r="A3" s="2" t="inlineStr">
        <is>
          <t>Company Name:</t>
        </is>
      </c>
      <c r="C3" t="inlineStr">
        <is>
          <t>Jyoti CNC Automation</t>
        </is>
      </c>
    </row>
    <row r="4">
      <c r="A4" s="2" t="inlineStr">
        <is>
          <t>Ticker / Exchange:</t>
        </is>
      </c>
      <c r="C4" t="inlineStr">
        <is>
          <t>JYOTICNC / NSE</t>
        </is>
      </c>
    </row>
    <row r="5">
      <c r="A5" s="2" t="inlineStr">
        <is>
          <t>Target Price (₹):</t>
        </is>
      </c>
      <c r="C5">
        <f>DCF_Valuation!C22</f>
        <v/>
      </c>
    </row>
    <row r="6">
      <c r="A6" s="2" t="inlineStr">
        <is>
          <t>Current Market Price (₹):</t>
        </is>
      </c>
      <c r="C6" t="n">
        <v>1259.3</v>
      </c>
    </row>
    <row r="7">
      <c r="A7" s="2" t="inlineStr">
        <is>
          <t>Implied Upside / Downside:</t>
        </is>
      </c>
      <c r="C7" s="3">
        <f>(C5-C6)/C6</f>
        <v/>
      </c>
    </row>
    <row r="8">
      <c r="A8" s="2" t="inlineStr">
        <is>
          <t>Recommendation:</t>
        </is>
      </c>
      <c r="C8" s="4">
        <f>IF(C7&gt;0.15,"BUY",IF(C7&lt;-0.10,"SELL","HOLD"))</f>
        <v/>
      </c>
    </row>
    <row r="9"/>
    <row r="10">
      <c r="A10" s="5" t="inlineStr">
        <is>
          <t>QUARTERLY CONCALL TRACKER &amp; MANAGEMENT GUIDANCE MATRIX</t>
        </is>
      </c>
    </row>
    <row r="11" ht="25" customHeight="1">
      <c r="A11" s="6" t="inlineStr">
        <is>
          <t>Quarter</t>
        </is>
      </c>
      <c r="B11" s="6" t="inlineStr">
        <is>
          <t>Revenue Guidance</t>
        </is>
      </c>
      <c r="C11" s="6" t="inlineStr">
        <is>
          <t>Margin Guidance</t>
        </is>
      </c>
      <c r="D11" s="6" t="inlineStr">
        <is>
          <t>CapEx Plans</t>
        </is>
      </c>
      <c r="E11" s="6" t="inlineStr">
        <is>
          <t>Order Book / Backlog</t>
        </is>
      </c>
      <c r="F11" s="6" t="inlineStr">
        <is>
          <t>Management Tone</t>
        </is>
      </c>
      <c r="G11" s="6" t="inlineStr">
        <is>
          <t>Key Risks Flagged</t>
        </is>
      </c>
      <c r="H11" s="6" t="inlineStr">
        <is>
          <t>Execution Milestones</t>
        </is>
      </c>
      <c r="I11" s="6" t="inlineStr">
        <is>
          <t>Analyst Conviction Notes</t>
        </is>
      </c>
    </row>
    <row r="12">
      <c r="A12" t="inlineStr">
        <is>
          <t>Q1 FY27</t>
        </is>
      </c>
      <c r="B12" t="inlineStr">
        <is>
          <t>20-25% YoY Growth</t>
        </is>
      </c>
      <c r="C12" t="inlineStr">
        <is>
          <t>21.5% EBITDA Margin</t>
        </is>
      </c>
      <c r="D12" t="inlineStr">
        <is>
          <t>Scale 6k -&gt; 16k capacity</t>
        </is>
      </c>
      <c r="E12" t="inlineStr">
        <is>
          <t>₹3,400 Cr Order Book</t>
        </is>
      </c>
      <c r="F12" t="inlineStr">
        <is>
          <t>Confident / Bullish</t>
        </is>
      </c>
      <c r="G12" t="inlineStr">
        <is>
          <t>Working Capital Cycle &amp; Pledge %</t>
        </is>
      </c>
      <c r="H12" t="inlineStr">
        <is>
          <t>Plant 3 Commercialization</t>
        </is>
      </c>
      <c r="I12" t="inlineStr">
        <is>
          <t>Pledge level increased to 20.92% for business debt expansion. Execution on track.</t>
        </is>
      </c>
    </row>
  </sheetData>
  <mergeCells count="2">
    <mergeCell ref="A1:I1"/>
    <mergeCell ref="A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28" customHeight="1">
      <c r="A1" s="1" t="inlineStr">
        <is>
          <t>Metric / Year</t>
        </is>
      </c>
      <c r="B1" s="1" t="inlineStr">
        <is>
          <t>FY23</t>
        </is>
      </c>
      <c r="C1" s="1" t="inlineStr">
        <is>
          <t>FY24</t>
        </is>
      </c>
      <c r="D1" s="1" t="inlineStr">
        <is>
          <t>FY25</t>
        </is>
      </c>
      <c r="E1" s="1" t="inlineStr">
        <is>
          <t>FY26E</t>
        </is>
      </c>
      <c r="F1" s="1" t="inlineStr">
        <is>
          <t>FY27E</t>
        </is>
      </c>
      <c r="G1" s="1" t="inlineStr">
        <is>
          <t>FY28E</t>
        </is>
      </c>
      <c r="H1" s="1" t="inlineStr">
        <is>
          <t>FY29E</t>
        </is>
      </c>
      <c r="I1" s="1" t="inlineStr">
        <is>
          <t>FY30E</t>
        </is>
      </c>
      <c r="J1" s="1" t="inlineStr">
        <is>
          <t>FY31E-35E (CAGR)</t>
        </is>
      </c>
      <c r="K1" s="1" t="inlineStr">
        <is>
          <t>Terminal</t>
        </is>
      </c>
    </row>
    <row r="2">
      <c r="A2" s="7" t="inlineStr">
        <is>
          <t>INCOME STATEMENT</t>
        </is>
      </c>
    </row>
    <row r="3">
      <c r="A3" s="2" t="inlineStr">
        <is>
          <t>Revenue from Operations</t>
        </is>
      </c>
      <c r="B3" s="8" t="n">
        <v>900</v>
      </c>
      <c r="C3" s="8" t="n">
        <v>1200</v>
      </c>
      <c r="D3" s="8" t="n">
        <v>1500</v>
      </c>
      <c r="E3" s="8" t="n">
        <v>1850</v>
      </c>
      <c r="F3" s="8" t="n">
        <v>2300</v>
      </c>
      <c r="G3" s="8" t="n">
        <v>2800</v>
      </c>
      <c r="H3" s="8" t="n">
        <v>3350</v>
      </c>
      <c r="I3" s="8" t="n">
        <v>3950</v>
      </c>
      <c r="J3" s="9" t="inlineStr">
        <is>
          <t>8.0%</t>
        </is>
      </c>
      <c r="K3" s="9" t="inlineStr">
        <is>
          <t>3.0%</t>
        </is>
      </c>
    </row>
    <row r="4">
      <c r="A4" s="2" t="inlineStr">
        <is>
          <t>Revenue Growth YoY (%)</t>
        </is>
      </c>
      <c r="B4" s="10" t="inlineStr">
        <is>
          <t>-</t>
        </is>
      </c>
      <c r="C4" s="10" t="inlineStr">
        <is>
          <t>33.3%</t>
        </is>
      </c>
      <c r="D4" s="10" t="inlineStr">
        <is>
          <t>25.0%</t>
        </is>
      </c>
      <c r="E4" s="10">
        <f>(E3-D3)/D3</f>
        <v/>
      </c>
      <c r="F4" s="10">
        <f>(F3-E3)/E3</f>
        <v/>
      </c>
      <c r="G4" s="10">
        <f>(G3-F3)/F3</f>
        <v/>
      </c>
      <c r="H4" s="10">
        <f>(H3-G3)/G3</f>
        <v/>
      </c>
      <c r="I4" s="10">
        <f>(I3-H3)/H3</f>
        <v/>
      </c>
      <c r="J4" s="10" t="inlineStr">
        <is>
          <t>-</t>
        </is>
      </c>
      <c r="K4" s="10" t="inlineStr">
        <is>
          <t>-</t>
        </is>
      </c>
    </row>
    <row r="5">
      <c r="A5" s="2" t="inlineStr">
        <is>
          <t>COGS (Raw Materials)</t>
        </is>
      </c>
      <c r="B5" s="8" t="n">
        <v>450</v>
      </c>
      <c r="C5" s="8" t="n">
        <v>580</v>
      </c>
      <c r="D5" s="8" t="n">
        <v>710</v>
      </c>
      <c r="E5" s="8" t="n">
        <v>869</v>
      </c>
      <c r="F5" s="8" t="n">
        <v>1081</v>
      </c>
      <c r="G5" s="8" t="n">
        <v>1316</v>
      </c>
      <c r="H5" s="8" t="n">
        <v>1574</v>
      </c>
      <c r="I5" s="8" t="n">
        <v>1856</v>
      </c>
      <c r="J5" s="11" t="inlineStr">
        <is>
          <t>-</t>
        </is>
      </c>
      <c r="K5" s="11" t="inlineStr">
        <is>
          <t>-</t>
        </is>
      </c>
    </row>
    <row r="6">
      <c r="A6" s="2" t="inlineStr">
        <is>
          <t>Gross Profit</t>
        </is>
      </c>
      <c r="B6" s="12">
        <f>B3-B5</f>
        <v/>
      </c>
      <c r="C6" s="12">
        <f>C3-C5</f>
        <v/>
      </c>
      <c r="D6" s="12">
        <f>D3-D5</f>
        <v/>
      </c>
      <c r="E6" s="12">
        <f>E3-E5</f>
        <v/>
      </c>
      <c r="F6" s="12">
        <f>F3-F5</f>
        <v/>
      </c>
      <c r="G6" s="12">
        <f>G3-G5</f>
        <v/>
      </c>
      <c r="H6" s="12">
        <f>H3-H5</f>
        <v/>
      </c>
      <c r="I6" s="12">
        <f>I3-I5</f>
        <v/>
      </c>
      <c r="J6" s="12" t="inlineStr">
        <is>
          <t>-</t>
        </is>
      </c>
      <c r="K6" s="12" t="inlineStr">
        <is>
          <t>-</t>
        </is>
      </c>
    </row>
    <row r="7">
      <c r="A7" s="2" t="inlineStr">
        <is>
          <t>Gross Margin (%)</t>
        </is>
      </c>
      <c r="B7" s="10">
        <f>B6/B3</f>
        <v/>
      </c>
      <c r="C7" s="10">
        <f>C6/C3</f>
        <v/>
      </c>
      <c r="D7" s="10">
        <f>D6/D3</f>
        <v/>
      </c>
      <c r="E7" s="10">
        <f>E6/E3</f>
        <v/>
      </c>
      <c r="F7" s="10">
        <f>F6/F3</f>
        <v/>
      </c>
      <c r="G7" s="10">
        <f>G6/G3</f>
        <v/>
      </c>
      <c r="H7" s="10">
        <f>H6/H3</f>
        <v/>
      </c>
      <c r="I7" s="10">
        <f>I6/I3</f>
        <v/>
      </c>
      <c r="J7" s="10" t="inlineStr">
        <is>
          <t>-</t>
        </is>
      </c>
      <c r="K7" s="10" t="inlineStr">
        <is>
          <t>-</t>
        </is>
      </c>
    </row>
    <row r="8">
      <c r="A8" s="2" t="inlineStr">
        <is>
          <t>EBITDA</t>
        </is>
      </c>
      <c r="B8" s="8" t="n">
        <v>135</v>
      </c>
      <c r="C8" s="8" t="n">
        <v>216</v>
      </c>
      <c r="D8" s="8" t="n">
        <v>300</v>
      </c>
      <c r="E8" s="8" t="n">
        <v>388</v>
      </c>
      <c r="F8" s="8" t="n">
        <v>494</v>
      </c>
      <c r="G8" s="8" t="n">
        <v>616</v>
      </c>
      <c r="H8" s="8" t="n">
        <v>753</v>
      </c>
      <c r="I8" s="8" t="n">
        <v>908</v>
      </c>
      <c r="J8" s="11" t="inlineStr">
        <is>
          <t>-</t>
        </is>
      </c>
      <c r="K8" s="11" t="inlineStr">
        <is>
          <t>-</t>
        </is>
      </c>
    </row>
    <row r="9">
      <c r="A9" s="2" t="inlineStr">
        <is>
          <t>EBITDA Margin (%)</t>
        </is>
      </c>
      <c r="B9" s="10">
        <f>B8/B3</f>
        <v/>
      </c>
      <c r="C9" s="10">
        <f>C8/C3</f>
        <v/>
      </c>
      <c r="D9" s="10">
        <f>D8/D3</f>
        <v/>
      </c>
      <c r="E9" s="10">
        <f>E8/E3</f>
        <v/>
      </c>
      <c r="F9" s="10">
        <f>F8/F3</f>
        <v/>
      </c>
      <c r="G9" s="10">
        <f>G8/G3</f>
        <v/>
      </c>
      <c r="H9" s="10">
        <f>H8/H3</f>
        <v/>
      </c>
      <c r="I9" s="10">
        <f>I8/I3</f>
        <v/>
      </c>
      <c r="J9" s="10" t="inlineStr">
        <is>
          <t>-</t>
        </is>
      </c>
      <c r="K9" s="10" t="inlineStr">
        <is>
          <t>-</t>
        </is>
      </c>
    </row>
    <row r="10">
      <c r="A10" s="2" t="inlineStr">
        <is>
          <t>Depreciation &amp; Amortization</t>
        </is>
      </c>
      <c r="B10" s="8" t="n">
        <v>30</v>
      </c>
      <c r="C10" s="8" t="n">
        <v>40</v>
      </c>
      <c r="D10" s="8" t="n">
        <v>50</v>
      </c>
      <c r="E10" s="8" t="n">
        <v>60</v>
      </c>
      <c r="F10" s="8" t="n">
        <v>75</v>
      </c>
      <c r="G10" s="8" t="n">
        <v>90</v>
      </c>
      <c r="H10" s="8" t="n">
        <v>105</v>
      </c>
      <c r="I10" s="8" t="n">
        <v>120</v>
      </c>
      <c r="J10" s="11" t="inlineStr">
        <is>
          <t>-</t>
        </is>
      </c>
      <c r="K10" s="11" t="inlineStr">
        <is>
          <t>-</t>
        </is>
      </c>
    </row>
    <row r="11">
      <c r="A11" s="2" t="inlineStr">
        <is>
          <t>EBIT (Operating Income)</t>
        </is>
      </c>
      <c r="B11" s="12">
        <f>B8-B10</f>
        <v/>
      </c>
      <c r="C11" s="12">
        <f>C8-C10</f>
        <v/>
      </c>
      <c r="D11" s="12">
        <f>D8-D10</f>
        <v/>
      </c>
      <c r="E11" s="12">
        <f>E8-E10</f>
        <v/>
      </c>
      <c r="F11" s="12">
        <f>F8-F10</f>
        <v/>
      </c>
      <c r="G11" s="12">
        <f>G8-G10</f>
        <v/>
      </c>
      <c r="H11" s="12">
        <f>H8-H10</f>
        <v/>
      </c>
      <c r="I11" s="12">
        <f>I8-I10</f>
        <v/>
      </c>
      <c r="J11" s="12" t="inlineStr">
        <is>
          <t>-</t>
        </is>
      </c>
      <c r="K11" s="12" t="inlineStr">
        <is>
          <t>-</t>
        </is>
      </c>
    </row>
    <row r="12">
      <c r="A12" s="2" t="inlineStr">
        <is>
          <t>Effective Tax Rate (%)</t>
        </is>
      </c>
      <c r="B12" s="9" t="inlineStr">
        <is>
          <t>25.0%</t>
        </is>
      </c>
      <c r="C12" s="9" t="inlineStr">
        <is>
          <t>25.0%</t>
        </is>
      </c>
      <c r="D12" s="9" t="inlineStr">
        <is>
          <t>25.0%</t>
        </is>
      </c>
      <c r="E12" s="9" t="inlineStr">
        <is>
          <t>25.0%</t>
        </is>
      </c>
      <c r="F12" s="9" t="inlineStr">
        <is>
          <t>25.0%</t>
        </is>
      </c>
      <c r="G12" s="9" t="inlineStr">
        <is>
          <t>25.0%</t>
        </is>
      </c>
      <c r="H12" s="9" t="inlineStr">
        <is>
          <t>25.0%</t>
        </is>
      </c>
      <c r="I12" s="9" t="inlineStr">
        <is>
          <t>25.0%</t>
        </is>
      </c>
      <c r="J12" s="9" t="inlineStr">
        <is>
          <t>25.0%</t>
        </is>
      </c>
      <c r="K12" s="9" t="inlineStr">
        <is>
          <t>25.0%</t>
        </is>
      </c>
    </row>
    <row r="13">
      <c r="A13" s="2" t="inlineStr">
        <is>
          <t>NOPAT (Net Operating Profit After Tax)</t>
        </is>
      </c>
      <c r="B13" s="12">
        <f>B11*(1-B12)</f>
        <v/>
      </c>
      <c r="C13" s="12">
        <f>C11*(1-C12)</f>
        <v/>
      </c>
      <c r="D13" s="12">
        <f>D11*(1-D12)</f>
        <v/>
      </c>
      <c r="E13" s="12">
        <f>E11*(1-E12)</f>
        <v/>
      </c>
      <c r="F13" s="12">
        <f>F11*(1-F12)</f>
        <v/>
      </c>
      <c r="G13" s="12">
        <f>G11*(1-G12)</f>
        <v/>
      </c>
      <c r="H13" s="12">
        <f>H11*(1-H12)</f>
        <v/>
      </c>
      <c r="I13" s="12">
        <f>I11*(1-I12)</f>
        <v/>
      </c>
      <c r="J13" s="12" t="inlineStr">
        <is>
          <t>-</t>
        </is>
      </c>
      <c r="K13" s="12" t="inlineStr">
        <is>
          <t>-</t>
        </is>
      </c>
    </row>
    <row r="14">
      <c r="A14" s="7" t="inlineStr">
        <is>
          <t>CASH FLOW DRIVERS FOR DCF</t>
        </is>
      </c>
    </row>
    <row r="15">
      <c r="A15" s="2" t="inlineStr">
        <is>
          <t>Capital Expenditures (CapEx)</t>
        </is>
      </c>
      <c r="B15" s="8" t="n">
        <v>80</v>
      </c>
      <c r="C15" s="8" t="n">
        <v>120</v>
      </c>
      <c r="D15" s="8" t="n">
        <v>200</v>
      </c>
      <c r="E15" s="8" t="n">
        <v>250</v>
      </c>
      <c r="F15" s="8" t="n">
        <v>180</v>
      </c>
      <c r="G15" s="8" t="n">
        <v>150</v>
      </c>
      <c r="H15" s="8" t="n">
        <v>140</v>
      </c>
      <c r="I15" s="8" t="n">
        <v>130</v>
      </c>
      <c r="J15" s="11" t="inlineStr">
        <is>
          <t>-</t>
        </is>
      </c>
      <c r="K15" s="11" t="inlineStr">
        <is>
          <t>-</t>
        </is>
      </c>
    </row>
    <row r="16">
      <c r="A16" s="2" t="inlineStr">
        <is>
          <t>Change in Net Working Capital (NWC)</t>
        </is>
      </c>
      <c r="B16" s="8" t="n">
        <v>20</v>
      </c>
      <c r="C16" s="8" t="n">
        <v>35</v>
      </c>
      <c r="D16" s="8" t="n">
        <v>45</v>
      </c>
      <c r="E16" s="8" t="n">
        <v>50</v>
      </c>
      <c r="F16" s="8" t="n">
        <v>40</v>
      </c>
      <c r="G16" s="8" t="n">
        <v>35</v>
      </c>
      <c r="H16" s="8" t="n">
        <v>30</v>
      </c>
      <c r="I16" s="8" t="n">
        <v>25</v>
      </c>
      <c r="J16" s="11" t="inlineStr">
        <is>
          <t>-</t>
        </is>
      </c>
      <c r="K16" s="11" t="inlineStr">
        <is>
          <t>-</t>
        </is>
      </c>
    </row>
    <row r="17">
      <c r="A17" s="2" t="inlineStr">
        <is>
          <t>Unlevered Free Cash Flow (FCFF)</t>
        </is>
      </c>
      <c r="B17" s="12">
        <f>B13-B15-B16</f>
        <v/>
      </c>
      <c r="C17" s="12">
        <f>C13-C15-C16</f>
        <v/>
      </c>
      <c r="D17" s="12">
        <f>D13-D15-D16</f>
        <v/>
      </c>
      <c r="E17" s="12">
        <f>E13-E15-E16</f>
        <v/>
      </c>
      <c r="F17" s="12">
        <f>F13-F15-F16</f>
        <v/>
      </c>
      <c r="G17" s="12">
        <f>G13-G15-G16</f>
        <v/>
      </c>
      <c r="H17" s="12">
        <f>H13-H15-H16</f>
        <v/>
      </c>
      <c r="I17" s="12">
        <f>I13-I15-I16</f>
        <v/>
      </c>
      <c r="J17" s="12" t="inlineStr">
        <is>
          <t>-</t>
        </is>
      </c>
      <c r="K17" s="12" t="inlineStr">
        <is>
          <t>-</t>
        </is>
      </c>
    </row>
  </sheetData>
  <mergeCells count="2">
    <mergeCell ref="A2:K2"/>
    <mergeCell ref="A14:K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3-STAGE UNLEVERED DISCOUNTED CASH FLOW (DCF) MODEL</t>
        </is>
      </c>
    </row>
    <row r="2">
      <c r="A2" s="7" t="inlineStr">
        <is>
          <t>WACC &amp; Cost of Capital Assumptions</t>
        </is>
      </c>
    </row>
    <row r="3">
      <c r="A3" s="2" t="inlineStr">
        <is>
          <t>Risk-Free Rate (10Y G-Sec)</t>
        </is>
      </c>
      <c r="C3" s="10" t="n">
        <v>0.07099999999999999</v>
      </c>
    </row>
    <row r="4">
      <c r="A4" s="2" t="inlineStr">
        <is>
          <t>Equity Risk Premium (ERP)</t>
        </is>
      </c>
      <c r="C4" s="10" t="n">
        <v>0.06</v>
      </c>
    </row>
    <row r="5">
      <c r="A5" s="2" t="inlineStr">
        <is>
          <t>Beta (Adjusted)</t>
        </is>
      </c>
      <c r="C5" s="13" t="n">
        <v>1.15</v>
      </c>
    </row>
    <row r="6">
      <c r="A6" s="2" t="inlineStr">
        <is>
          <t>Cost of Equity (Ke)</t>
        </is>
      </c>
      <c r="C6" s="10">
        <f>C3+(C4*C5)</f>
        <v/>
      </c>
    </row>
    <row r="7">
      <c r="A7" s="2" t="inlineStr">
        <is>
          <t>Pre-Tax Cost of Debt</t>
        </is>
      </c>
      <c r="C7" s="10" t="n">
        <v>0.08500000000000001</v>
      </c>
    </row>
    <row r="8">
      <c r="A8" s="2" t="inlineStr">
        <is>
          <t>Tax Rate</t>
        </is>
      </c>
      <c r="C8" s="10" t="n">
        <v>0.25</v>
      </c>
    </row>
    <row r="9">
      <c r="A9" s="2" t="inlineStr">
        <is>
          <t>After-Tax Cost of Debt (Kd)</t>
        </is>
      </c>
      <c r="C9" s="10">
        <f>C7*(1-C8)</f>
        <v/>
      </c>
    </row>
    <row r="10">
      <c r="A10" s="2" t="inlineStr">
        <is>
          <t>Weight of Equity</t>
        </is>
      </c>
      <c r="C10" s="10" t="n">
        <v>0.8</v>
      </c>
    </row>
    <row r="11">
      <c r="A11" s="2" t="inlineStr">
        <is>
          <t>Weight of Debt</t>
        </is>
      </c>
      <c r="C11" s="10" t="n">
        <v>0.2</v>
      </c>
    </row>
    <row r="12">
      <c r="A12" s="2" t="inlineStr">
        <is>
          <t>Calculated WACC</t>
        </is>
      </c>
      <c r="C12" s="3">
        <f>(C6*C10)+(C9*C11)</f>
        <v/>
      </c>
    </row>
    <row r="13">
      <c r="A13" s="7" t="inlineStr">
        <is>
          <t>Terminal Value &amp; Intrinsic Value Summary</t>
        </is>
      </c>
    </row>
    <row r="14">
      <c r="A14" s="2" t="inlineStr">
        <is>
          <t>Terminal Growth Rate (g)</t>
        </is>
      </c>
      <c r="C14" s="10" t="n">
        <v>0.045</v>
      </c>
    </row>
    <row r="15">
      <c r="A15" s="2" t="inlineStr">
        <is>
          <t>PV of Explicit Projection Period (Stage 1: 5Y)</t>
        </is>
      </c>
      <c r="C15" s="13">
        <f>NPV(C12, Financial_Model!E17:I17)</f>
        <v/>
      </c>
    </row>
    <row r="16">
      <c r="A16" s="2" t="inlineStr">
        <is>
          <t>Terminal Year FCFF (Stage 2/3)</t>
        </is>
      </c>
      <c r="C16" s="13">
        <f>Financial_Model!I17*(1+C14)</f>
        <v/>
      </c>
    </row>
    <row r="17">
      <c r="A17" s="2" t="inlineStr">
        <is>
          <t>Terminal Value (Gordon Growth)</t>
        </is>
      </c>
      <c r="C17" s="3">
        <f>C16/(C12-C14)</f>
        <v/>
      </c>
    </row>
    <row r="18">
      <c r="A18" s="2" t="inlineStr">
        <is>
          <t>PV of Terminal Value</t>
        </is>
      </c>
      <c r="C18" s="14">
        <f>C17/((1+C12)^5)</f>
        <v/>
      </c>
    </row>
    <row r="19">
      <c r="A19" s="2" t="inlineStr">
        <is>
          <t>Enterprise Value (EV)</t>
        </is>
      </c>
      <c r="C19" s="14">
        <f>C15+C18</f>
        <v/>
      </c>
    </row>
    <row r="20">
      <c r="A20" s="2" t="inlineStr">
        <is>
          <t>Less: Total Gross Debt</t>
        </is>
      </c>
      <c r="C20" s="13" t="n">
        <v>350</v>
      </c>
    </row>
    <row r="21">
      <c r="A21" s="2" t="inlineStr">
        <is>
          <t>Plus: Cash &amp; Marketable Securities</t>
        </is>
      </c>
      <c r="C21" s="13" t="n">
        <v>120</v>
      </c>
    </row>
    <row r="22">
      <c r="A22" s="2" t="inlineStr">
        <is>
          <t>Equity Value</t>
        </is>
      </c>
      <c r="C22" s="14">
        <f>C19-C20+C21</f>
        <v/>
      </c>
    </row>
    <row r="23">
      <c r="A23" s="2" t="inlineStr">
        <is>
          <t>Shares Outstanding (Cr)</t>
        </is>
      </c>
      <c r="C23" s="13" t="n">
        <v>22.73</v>
      </c>
    </row>
    <row r="24">
      <c r="A24" s="2" t="inlineStr">
        <is>
          <t>Intrinsic Value Per Share (₹)</t>
        </is>
      </c>
      <c r="C24" s="14">
        <f>C22/C23</f>
        <v/>
      </c>
    </row>
  </sheetData>
  <mergeCells count="3">
    <mergeCell ref="A1:E1"/>
    <mergeCell ref="A13:C1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5-STAGE DUPONT ROE ANALYSIS &amp; DRIVER DECOMPOSITION</t>
        </is>
      </c>
    </row>
    <row r="2" ht="25" customHeight="1">
      <c r="A2" s="6" t="inlineStr">
        <is>
          <t>DuPont Component</t>
        </is>
      </c>
      <c r="B2" s="6" t="inlineStr">
        <is>
          <t>Formula</t>
        </is>
      </c>
      <c r="C2" s="6" t="inlineStr">
        <is>
          <t>FY24</t>
        </is>
      </c>
      <c r="D2" s="6" t="inlineStr">
        <is>
          <t>FY25</t>
        </is>
      </c>
      <c r="E2" s="6" t="inlineStr">
        <is>
          <t>FY26E</t>
        </is>
      </c>
      <c r="F2" s="6" t="inlineStr">
        <is>
          <t>FY27E</t>
        </is>
      </c>
    </row>
    <row r="3">
      <c r="A3" s="2" t="inlineStr">
        <is>
          <t>1. Operating Profit Margin (EBIT / Sales)</t>
        </is>
      </c>
      <c r="B3">
        <f>EBIT/Sales</f>
        <v/>
      </c>
      <c r="C3" s="15" t="n">
        <v>0.146</v>
      </c>
      <c r="D3" s="15" t="n">
        <v>0.166</v>
      </c>
      <c r="E3" s="15" t="n">
        <v>0.177</v>
      </c>
      <c r="F3" s="15" t="n">
        <v>0.18</v>
      </c>
    </row>
    <row r="4">
      <c r="A4" s="2" t="inlineStr">
        <is>
          <t>2. Asset Turnover Ratio</t>
        </is>
      </c>
      <c r="B4">
        <f>Sales/Avg Assets</f>
        <v/>
      </c>
      <c r="C4" s="16" t="n">
        <v>0.65</v>
      </c>
      <c r="D4" s="16" t="n">
        <v>0.72</v>
      </c>
      <c r="E4" s="16" t="n">
        <v>0.78</v>
      </c>
      <c r="F4" s="16" t="n">
        <v>0.85</v>
      </c>
    </row>
    <row r="5">
      <c r="A5" s="2" t="inlineStr">
        <is>
          <t>3. Interest Burden Factor</t>
        </is>
      </c>
      <c r="B5">
        <f>EBT/EBIT</f>
        <v/>
      </c>
      <c r="C5" s="15" t="n">
        <v>0.78</v>
      </c>
      <c r="D5" s="15" t="n">
        <v>0.82</v>
      </c>
      <c r="E5" s="15" t="n">
        <v>0.85</v>
      </c>
      <c r="F5" s="15" t="n">
        <v>0.88</v>
      </c>
    </row>
    <row r="6">
      <c r="A6" s="2" t="inlineStr">
        <is>
          <t>4. Tax Retention Rate</t>
        </is>
      </c>
      <c r="B6">
        <f>NI/EBT</f>
        <v/>
      </c>
      <c r="C6" s="15" t="n">
        <v>0.75</v>
      </c>
      <c r="D6" s="15" t="n">
        <v>0.75</v>
      </c>
      <c r="E6" s="15" t="n">
        <v>0.75</v>
      </c>
      <c r="F6" s="15" t="n">
        <v>0.75</v>
      </c>
    </row>
    <row r="7">
      <c r="A7" s="2" t="inlineStr">
        <is>
          <t>5. Financial Leverage Multiplier</t>
        </is>
      </c>
      <c r="B7">
        <f>Avg Assets/Avg Equity</f>
        <v/>
      </c>
      <c r="C7" s="16" t="n">
        <v>1.85</v>
      </c>
      <c r="D7" s="16" t="n">
        <v>1.72</v>
      </c>
      <c r="E7" s="16" t="n">
        <v>1.6</v>
      </c>
      <c r="F7" s="16" t="n">
        <v>1.5</v>
      </c>
    </row>
    <row r="8">
      <c r="A8" s="17" t="inlineStr">
        <is>
          <t>COMPOSITE RETURN ON EQUITY (ROE)</t>
        </is>
      </c>
      <c r="B8" s="17">
        <f>Product(1:5)</f>
        <v/>
      </c>
      <c r="C8" s="18" t="n">
        <v>0.101</v>
      </c>
      <c r="D8" s="18" t="n">
        <v>0.132</v>
      </c>
      <c r="E8" s="18" t="n">
        <v>0.158</v>
      </c>
      <c r="F8" s="18" t="n">
        <v>0.18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2026-08-11T05:27:39Z</dcterms:created>
  <dcterms:modified xmlns:dcterms="http://purl.org/dc/terms/" xmlns:xsi="http://www.w3.org/2001/XMLSchema-instance" xsi:type="dcterms:W3CDTF">2026-08-11T05:27:39Z</dcterms:modified>
</cp:coreProperties>
</file>